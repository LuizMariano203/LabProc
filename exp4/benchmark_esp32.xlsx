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plicação — Brutos" sheetId="1" state="visible" r:id="rId3"/>
    <sheet name="Fatorial — Brutos" sheetId="2" state="visible" r:id="rId4"/>
    <sheet name="Resumo Estatístic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<sst xmlns="http://schemas.openxmlformats.org/spreadsheetml/2006/main" count="365" uniqueCount="87">
  <si>
    <t xml:space="preserve">BENCHMARK DE MULTIPLICAÇÃO — ESP32  |  N_REP = 10.000 repetições por caso</t>
  </si>
  <si>
    <t xml:space="preserve">2 bits  (faixa: −2 a 1)</t>
  </si>
  <si>
    <t xml:space="preserve">4 bits  (faixa: −8 a 7)</t>
  </si>
  <si>
    <t xml:space="preserve">8 bits  (faixa: −128 a 127)</t>
  </si>
  <si>
    <t xml:space="preserve">Caso</t>
  </si>
  <si>
    <t xml:space="preserve">A</t>
  </si>
  <si>
    <t xml:space="preserve">B</t>
  </si>
  <si>
    <t xml:space="preserve">Tempo (µs)</t>
  </si>
  <si>
    <t xml:space="preserve">Overflow</t>
  </si>
  <si>
    <t xml:space="preserve">10</t>
  </si>
  <si>
    <t xml:space="preserve">SIM</t>
  </si>
  <si>
    <t xml:space="preserve">1000</t>
  </si>
  <si>
    <t xml:space="preserve">10000000</t>
  </si>
  <si>
    <t xml:space="preserve">11</t>
  </si>
  <si>
    <t xml:space="preserve">0111</t>
  </si>
  <si>
    <t xml:space="preserve">01111111</t>
  </si>
  <si>
    <t xml:space="preserve">00</t>
  </si>
  <si>
    <t xml:space="preserve">não</t>
  </si>
  <si>
    <t xml:space="preserve">01</t>
  </si>
  <si>
    <t xml:space="preserve">1100</t>
  </si>
  <si>
    <t xml:space="preserve">11000000</t>
  </si>
  <si>
    <t xml:space="preserve">01000000</t>
  </si>
  <si>
    <t xml:space="preserve">0101</t>
  </si>
  <si>
    <t xml:space="preserve">0011</t>
  </si>
  <si>
    <t xml:space="preserve">01100100</t>
  </si>
  <si>
    <t xml:space="preserve">1101</t>
  </si>
  <si>
    <t xml:space="preserve">0110</t>
  </si>
  <si>
    <t xml:space="preserve">10011101</t>
  </si>
  <si>
    <t xml:space="preserve">01100011</t>
  </si>
  <si>
    <t xml:space="preserve">0010</t>
  </si>
  <si>
    <t xml:space="preserve">1011</t>
  </si>
  <si>
    <t xml:space="preserve">00100001</t>
  </si>
  <si>
    <t xml:space="preserve">11011111</t>
  </si>
  <si>
    <t xml:space="preserve">0001</t>
  </si>
  <si>
    <t xml:space="preserve">00001111</t>
  </si>
  <si>
    <t xml:space="preserve">1010</t>
  </si>
  <si>
    <t xml:space="preserve">1110</t>
  </si>
  <si>
    <t xml:space="preserve">11001110</t>
  </si>
  <si>
    <t xml:space="preserve">00110010</t>
  </si>
  <si>
    <t xml:space="preserve">0100</t>
  </si>
  <si>
    <t xml:space="preserve">11111111</t>
  </si>
  <si>
    <t xml:space="preserve">0000</t>
  </si>
  <si>
    <t xml:space="preserve">00000000</t>
  </si>
  <si>
    <t xml:space="preserve">00000001</t>
  </si>
  <si>
    <t xml:space="preserve">1111</t>
  </si>
  <si>
    <t xml:space="preserve">11110110</t>
  </si>
  <si>
    <t xml:space="preserve">00001010</t>
  </si>
  <si>
    <t xml:space="preserve">11101100</t>
  </si>
  <si>
    <t xml:space="preserve">00000010</t>
  </si>
  <si>
    <t xml:space="preserve">11100111</t>
  </si>
  <si>
    <t xml:space="preserve">00000100</t>
  </si>
  <si>
    <t xml:space="preserve">00001100</t>
  </si>
  <si>
    <t xml:space="preserve">1001</t>
  </si>
  <si>
    <t xml:space="preserve">11110001</t>
  </si>
  <si>
    <t xml:space="preserve">00001000</t>
  </si>
  <si>
    <t xml:space="preserve">11111011</t>
  </si>
  <si>
    <t xml:space="preserve">01111000</t>
  </si>
  <si>
    <t xml:space="preserve">11111101</t>
  </si>
  <si>
    <t xml:space="preserve">01011010</t>
  </si>
  <si>
    <t xml:space="preserve">00001001</t>
  </si>
  <si>
    <t xml:space="preserve">Estatísticas</t>
  </si>
  <si>
    <t xml:space="preserve">Valor</t>
  </si>
  <si>
    <t xml:space="preserve">Média (µs)</t>
  </si>
  <si>
    <t xml:space="preserve">Mín (µs)</t>
  </si>
  <si>
    <t xml:space="preserve">Máx (µs)</t>
  </si>
  <si>
    <t xml:space="preserve">Desvio (µs)</t>
  </si>
  <si>
    <t xml:space="preserve">BENCHMARK DE FATORIAL — ESP32  |  N_REP = 10.000 repetições por medida</t>
  </si>
  <si>
    <t xml:space="preserve">N = 3  →  3! = 6</t>
  </si>
  <si>
    <t xml:space="preserve">N = 5  →  5! = 120</t>
  </si>
  <si>
    <t xml:space="preserve">N = 8  →  8! = 40320</t>
  </si>
  <si>
    <t xml:space="preserve">Medida</t>
  </si>
  <si>
    <t xml:space="preserve">Resultado</t>
  </si>
  <si>
    <t xml:space="preserve">RESUMO ESTATÍSTICO — BENCHMARK ESP32</t>
  </si>
  <si>
    <t xml:space="preserve">MULTIPLICAÇÃO</t>
  </si>
  <si>
    <t xml:space="preserve">Configuração</t>
  </si>
  <si>
    <t xml:space="preserve">N amostras</t>
  </si>
  <si>
    <t xml:space="preserve">Desvio Padrão (µs)</t>
  </si>
  <si>
    <t xml:space="preserve">2 bits  (−2 a 1)</t>
  </si>
  <si>
    <t xml:space="preserve">6/30</t>
  </si>
  <si>
    <t xml:space="preserve">4 bits  (−8 a 7)</t>
  </si>
  <si>
    <t xml:space="preserve">20/30</t>
  </si>
  <si>
    <t xml:space="preserve">8 bits  (−128 a 127)</t>
  </si>
  <si>
    <t xml:space="preserve">18/30</t>
  </si>
  <si>
    <t xml:space="preserve">FATORIAL</t>
  </si>
  <si>
    <t xml:space="preserve">N</t>
  </si>
  <si>
    <t xml:space="preserve">Resultado (N!)</t>
  </si>
  <si>
    <t xml:space="preserve">Nota: Variação de 313–320 µs causada por jitter do scheduler FreeRTOS e latência Wi-Fi do ESP32.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</si>
</sst>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00D4FF"/>
      <name val="Arial"/>
      <family val="0"/>
      <charset val="1"/>
    </font>
    <font>
      <b val="true"/>
      <sz val="12"/>
      <color rgb="FF10B981"/>
      <name val="Arial"/>
      <family val="0"/>
      <charset val="1"/>
    </font>
    <font>
      <b val="true"/>
      <sz val="12"/>
      <color rgb="FFA78BFA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1"/>
      <color rgb="FFA78BFA"/>
      <name val="Arial"/>
      <family val="0"/>
      <charset val="1"/>
    </font>
    <font>
      <sz val="10"/>
      <color rgb="FFE2E8F0"/>
      <name val="Arial"/>
      <family val="0"/>
      <charset val="1"/>
    </font>
    <font>
      <sz val="10"/>
      <color rgb="FFF43F5E"/>
      <name val="Arial"/>
      <family val="0"/>
      <charset val="1"/>
    </font>
    <font>
      <b val="true"/>
      <sz val="10"/>
      <color rgb="FF00D4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A78BFA"/>
      <name val="Arial"/>
      <family val="0"/>
      <charset val="1"/>
    </font>
    <font>
      <b val="true"/>
      <sz val="12"/>
      <color rgb="FFF59E0B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E2E8F0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0E1A"/>
        <bgColor rgb="FF111827"/>
      </patternFill>
    </fill>
    <fill>
      <patternFill patternType="solid">
        <fgColor rgb="FF111827"/>
        <bgColor rgb="FF0F1929"/>
      </patternFill>
    </fill>
    <fill>
      <patternFill patternType="solid">
        <fgColor rgb="FF1E2D45"/>
        <bgColor rgb="FF0F1929"/>
      </patternFill>
    </fill>
    <fill>
      <patternFill patternType="solid">
        <fgColor rgb="FF0F1929"/>
        <bgColor rgb="FF11182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E2D45"/>
      </left>
      <right/>
      <top style="thin">
        <color rgb="FF1E2D45"/>
      </top>
      <bottom style="thin">
        <color rgb="FF1E2D45"/>
      </bottom>
      <diagonal/>
    </border>
    <border diagonalUp="false" diagonalDown="false">
      <left style="thin">
        <color rgb="FF1E2D45"/>
      </left>
      <right style="thin">
        <color rgb="FF1E2D45"/>
      </right>
      <top style="thin">
        <color rgb="FF1E2D45"/>
      </top>
      <bottom style="thin">
        <color rgb="FF1E2D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E1A"/>
      <rgbColor rgb="FF808000"/>
      <rgbColor rgb="FF800080"/>
      <rgbColor rgb="FF008080"/>
      <rgbColor rgb="FFC0C0C0"/>
      <rgbColor rgb="FF808080"/>
      <rgbColor rgb="FFA78BFA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43F5E"/>
      <rgbColor rgb="FF64748B"/>
      <rgbColor rgb="FF969696"/>
      <rgbColor rgb="FF003366"/>
      <rgbColor rgb="FF10B981"/>
      <rgbColor rgb="FF0F1929"/>
      <rgbColor rgb="FF111827"/>
      <rgbColor rgb="FF993300"/>
      <rgbColor rgb="FF993366"/>
      <rgbColor rgb="FF333399"/>
      <rgbColor rgb="FF1E2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7" min="7" style="0" width="6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3" min="13" style="0" width="6"/>
    <col collapsed="false" customWidth="true" hidden="false" outlineLevel="0" max="16" min="14" style="0" width="12"/>
    <col collapsed="false" customWidth="true" hidden="false" outlineLevel="0" max="17" min="17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G2" s="3" t="s">
        <v>2</v>
      </c>
      <c r="H2" s="3"/>
      <c r="I2" s="3"/>
      <c r="J2" s="3"/>
      <c r="M2" s="4" t="s">
        <v>3</v>
      </c>
      <c r="N2" s="4"/>
      <c r="O2" s="4"/>
      <c r="P2" s="4"/>
    </row>
    <row r="3" customFormat="false" ht="18" hidden="false" customHeight="tru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M3" s="7" t="s">
        <v>4</v>
      </c>
      <c r="N3" s="7" t="s">
        <v>5</v>
      </c>
      <c r="O3" s="7" t="s">
        <v>6</v>
      </c>
      <c r="P3" s="7" t="s">
        <v>7</v>
      </c>
      <c r="Q3" s="7" t="s">
        <v>8</v>
      </c>
    </row>
    <row r="4" customFormat="false" ht="15" hidden="false" customHeight="true" outlineLevel="0" collapsed="false">
      <c r="A4" s="8" t="n">
        <v>1</v>
      </c>
      <c r="B4" s="8" t="s">
        <v>9</v>
      </c>
      <c r="C4" s="8" t="s">
        <v>9</v>
      </c>
      <c r="D4" s="8" t="n">
        <v>313</v>
      </c>
      <c r="E4" s="9" t="s">
        <v>10</v>
      </c>
      <c r="G4" s="8" t="n">
        <v>1</v>
      </c>
      <c r="H4" s="8" t="s">
        <v>11</v>
      </c>
      <c r="I4" s="8" t="s">
        <v>11</v>
      </c>
      <c r="J4" s="8" t="n">
        <v>313</v>
      </c>
      <c r="K4" s="9" t="s">
        <v>10</v>
      </c>
      <c r="M4" s="8" t="n">
        <v>1</v>
      </c>
      <c r="N4" s="8" t="s">
        <v>12</v>
      </c>
      <c r="O4" s="8" t="s">
        <v>12</v>
      </c>
      <c r="P4" s="8" t="n">
        <v>319</v>
      </c>
      <c r="Q4" s="9" t="s">
        <v>10</v>
      </c>
    </row>
    <row r="5" customFormat="false" ht="15" hidden="false" customHeight="true" outlineLevel="0" collapsed="false">
      <c r="A5" s="10" t="n">
        <v>2</v>
      </c>
      <c r="B5" s="10" t="s">
        <v>9</v>
      </c>
      <c r="C5" s="10" t="s">
        <v>13</v>
      </c>
      <c r="D5" s="10" t="n">
        <v>313</v>
      </c>
      <c r="E5" s="11" t="s">
        <v>10</v>
      </c>
      <c r="G5" s="10" t="n">
        <v>2</v>
      </c>
      <c r="H5" s="10" t="s">
        <v>11</v>
      </c>
      <c r="I5" s="10" t="s">
        <v>14</v>
      </c>
      <c r="J5" s="10" t="n">
        <v>320</v>
      </c>
      <c r="K5" s="11" t="s">
        <v>10</v>
      </c>
      <c r="M5" s="10" t="n">
        <v>2</v>
      </c>
      <c r="N5" s="10" t="s">
        <v>12</v>
      </c>
      <c r="O5" s="10" t="s">
        <v>15</v>
      </c>
      <c r="P5" s="10" t="n">
        <v>313</v>
      </c>
      <c r="Q5" s="11" t="s">
        <v>10</v>
      </c>
    </row>
    <row r="6" customFormat="false" ht="15" hidden="false" customHeight="true" outlineLevel="0" collapsed="false">
      <c r="A6" s="8" t="n">
        <v>3</v>
      </c>
      <c r="B6" s="8" t="s">
        <v>9</v>
      </c>
      <c r="C6" s="8" t="s">
        <v>16</v>
      </c>
      <c r="D6" s="8" t="n">
        <v>313</v>
      </c>
      <c r="E6" s="8" t="s">
        <v>17</v>
      </c>
      <c r="G6" s="8" t="n">
        <v>3</v>
      </c>
      <c r="H6" s="8" t="s">
        <v>14</v>
      </c>
      <c r="I6" s="8" t="s">
        <v>14</v>
      </c>
      <c r="J6" s="8" t="n">
        <v>313</v>
      </c>
      <c r="K6" s="9" t="s">
        <v>10</v>
      </c>
      <c r="M6" s="8" t="n">
        <v>3</v>
      </c>
      <c r="N6" s="8" t="s">
        <v>15</v>
      </c>
      <c r="O6" s="8" t="s">
        <v>15</v>
      </c>
      <c r="P6" s="8" t="n">
        <v>319</v>
      </c>
      <c r="Q6" s="9" t="s">
        <v>10</v>
      </c>
    </row>
    <row r="7" customFormat="false" ht="15" hidden="false" customHeight="true" outlineLevel="0" collapsed="false">
      <c r="A7" s="10" t="n">
        <v>4</v>
      </c>
      <c r="B7" s="10" t="s">
        <v>9</v>
      </c>
      <c r="C7" s="10" t="s">
        <v>18</v>
      </c>
      <c r="D7" s="10" t="n">
        <v>319</v>
      </c>
      <c r="E7" s="10" t="s">
        <v>17</v>
      </c>
      <c r="G7" s="10" t="n">
        <v>4</v>
      </c>
      <c r="H7" s="10" t="s">
        <v>19</v>
      </c>
      <c r="I7" s="10" t="s">
        <v>19</v>
      </c>
      <c r="J7" s="10" t="n">
        <v>320</v>
      </c>
      <c r="K7" s="11" t="s">
        <v>10</v>
      </c>
      <c r="M7" s="10" t="n">
        <v>4</v>
      </c>
      <c r="N7" s="10" t="s">
        <v>20</v>
      </c>
      <c r="O7" s="10" t="s">
        <v>21</v>
      </c>
      <c r="P7" s="10" t="n">
        <v>313</v>
      </c>
      <c r="Q7" s="11" t="s">
        <v>10</v>
      </c>
    </row>
    <row r="8" customFormat="false" ht="15" hidden="false" customHeight="true" outlineLevel="0" collapsed="false">
      <c r="A8" s="8" t="n">
        <v>5</v>
      </c>
      <c r="B8" s="8" t="s">
        <v>13</v>
      </c>
      <c r="C8" s="8" t="s">
        <v>9</v>
      </c>
      <c r="D8" s="8" t="n">
        <v>314</v>
      </c>
      <c r="E8" s="9" t="s">
        <v>10</v>
      </c>
      <c r="G8" s="8" t="n">
        <v>5</v>
      </c>
      <c r="H8" s="8" t="s">
        <v>22</v>
      </c>
      <c r="I8" s="8" t="s">
        <v>23</v>
      </c>
      <c r="J8" s="8" t="n">
        <v>314</v>
      </c>
      <c r="K8" s="9" t="s">
        <v>10</v>
      </c>
      <c r="M8" s="8" t="n">
        <v>5</v>
      </c>
      <c r="N8" s="8" t="s">
        <v>24</v>
      </c>
      <c r="O8" s="8" t="s">
        <v>24</v>
      </c>
      <c r="P8" s="8" t="n">
        <v>313</v>
      </c>
      <c r="Q8" s="9" t="s">
        <v>10</v>
      </c>
    </row>
    <row r="9" customFormat="false" ht="15" hidden="false" customHeight="true" outlineLevel="0" collapsed="false">
      <c r="A9" s="10" t="n">
        <v>6</v>
      </c>
      <c r="B9" s="10" t="s">
        <v>13</v>
      </c>
      <c r="C9" s="10" t="s">
        <v>13</v>
      </c>
      <c r="D9" s="10" t="n">
        <v>319</v>
      </c>
      <c r="E9" s="10" t="s">
        <v>17</v>
      </c>
      <c r="G9" s="10" t="n">
        <v>6</v>
      </c>
      <c r="H9" s="10" t="s">
        <v>25</v>
      </c>
      <c r="I9" s="10" t="s">
        <v>26</v>
      </c>
      <c r="J9" s="10" t="n">
        <v>313</v>
      </c>
      <c r="K9" s="11" t="s">
        <v>10</v>
      </c>
      <c r="M9" s="10" t="n">
        <v>6</v>
      </c>
      <c r="N9" s="10" t="s">
        <v>27</v>
      </c>
      <c r="O9" s="10" t="s">
        <v>28</v>
      </c>
      <c r="P9" s="10" t="n">
        <v>314</v>
      </c>
      <c r="Q9" s="11" t="s">
        <v>10</v>
      </c>
    </row>
    <row r="10" customFormat="false" ht="15" hidden="false" customHeight="true" outlineLevel="0" collapsed="false">
      <c r="A10" s="8" t="n">
        <v>7</v>
      </c>
      <c r="B10" s="8" t="s">
        <v>13</v>
      </c>
      <c r="C10" s="8" t="s">
        <v>16</v>
      </c>
      <c r="D10" s="8" t="n">
        <v>313</v>
      </c>
      <c r="E10" s="8" t="s">
        <v>17</v>
      </c>
      <c r="G10" s="8" t="n">
        <v>7</v>
      </c>
      <c r="H10" s="8" t="s">
        <v>29</v>
      </c>
      <c r="I10" s="8" t="s">
        <v>30</v>
      </c>
      <c r="J10" s="8" t="n">
        <v>313</v>
      </c>
      <c r="K10" s="9" t="s">
        <v>10</v>
      </c>
      <c r="M10" s="8" t="n">
        <v>7</v>
      </c>
      <c r="N10" s="8" t="s">
        <v>31</v>
      </c>
      <c r="O10" s="8" t="s">
        <v>32</v>
      </c>
      <c r="P10" s="8" t="n">
        <v>313</v>
      </c>
      <c r="Q10" s="9" t="s">
        <v>10</v>
      </c>
    </row>
    <row r="11" customFormat="false" ht="15" hidden="false" customHeight="true" outlineLevel="0" collapsed="false">
      <c r="A11" s="10" t="n">
        <v>8</v>
      </c>
      <c r="B11" s="10" t="s">
        <v>13</v>
      </c>
      <c r="C11" s="10" t="s">
        <v>18</v>
      </c>
      <c r="D11" s="10" t="n">
        <v>313</v>
      </c>
      <c r="E11" s="10" t="s">
        <v>17</v>
      </c>
      <c r="G11" s="10" t="n">
        <v>8</v>
      </c>
      <c r="H11" s="10" t="s">
        <v>33</v>
      </c>
      <c r="I11" s="10" t="s">
        <v>14</v>
      </c>
      <c r="J11" s="10" t="n">
        <v>313</v>
      </c>
      <c r="K11" s="10" t="s">
        <v>17</v>
      </c>
      <c r="M11" s="10" t="n">
        <v>8</v>
      </c>
      <c r="N11" s="10" t="s">
        <v>34</v>
      </c>
      <c r="O11" s="10" t="s">
        <v>34</v>
      </c>
      <c r="P11" s="10" t="n">
        <v>313</v>
      </c>
      <c r="Q11" s="11" t="s">
        <v>10</v>
      </c>
    </row>
    <row r="12" customFormat="false" ht="15" hidden="false" customHeight="true" outlineLevel="0" collapsed="false">
      <c r="A12" s="8" t="n">
        <v>9</v>
      </c>
      <c r="B12" s="8" t="s">
        <v>16</v>
      </c>
      <c r="C12" s="8" t="s">
        <v>9</v>
      </c>
      <c r="D12" s="8" t="n">
        <v>313</v>
      </c>
      <c r="E12" s="8" t="s">
        <v>17</v>
      </c>
      <c r="G12" s="8" t="n">
        <v>9</v>
      </c>
      <c r="H12" s="8" t="s">
        <v>35</v>
      </c>
      <c r="I12" s="8" t="s">
        <v>36</v>
      </c>
      <c r="J12" s="8" t="n">
        <v>319</v>
      </c>
      <c r="K12" s="9" t="s">
        <v>10</v>
      </c>
      <c r="M12" s="8" t="n">
        <v>9</v>
      </c>
      <c r="N12" s="8" t="s">
        <v>37</v>
      </c>
      <c r="O12" s="8" t="s">
        <v>38</v>
      </c>
      <c r="P12" s="8" t="n">
        <v>314</v>
      </c>
      <c r="Q12" s="9" t="s">
        <v>10</v>
      </c>
    </row>
    <row r="13" customFormat="false" ht="15" hidden="false" customHeight="true" outlineLevel="0" collapsed="false">
      <c r="A13" s="10" t="n">
        <v>10</v>
      </c>
      <c r="B13" s="10" t="s">
        <v>16</v>
      </c>
      <c r="C13" s="10" t="s">
        <v>13</v>
      </c>
      <c r="D13" s="10" t="n">
        <v>313</v>
      </c>
      <c r="E13" s="10" t="s">
        <v>17</v>
      </c>
      <c r="G13" s="10" t="n">
        <v>10</v>
      </c>
      <c r="H13" s="10" t="s">
        <v>39</v>
      </c>
      <c r="I13" s="10" t="s">
        <v>39</v>
      </c>
      <c r="J13" s="10" t="n">
        <v>313</v>
      </c>
      <c r="K13" s="11" t="s">
        <v>10</v>
      </c>
      <c r="M13" s="10" t="n">
        <v>10</v>
      </c>
      <c r="N13" s="10" t="s">
        <v>40</v>
      </c>
      <c r="O13" s="10" t="s">
        <v>40</v>
      </c>
      <c r="P13" s="10" t="n">
        <v>314</v>
      </c>
      <c r="Q13" s="10" t="s">
        <v>17</v>
      </c>
    </row>
    <row r="14" customFormat="false" ht="15" hidden="false" customHeight="true" outlineLevel="0" collapsed="false">
      <c r="A14" s="8" t="n">
        <v>11</v>
      </c>
      <c r="B14" s="8" t="s">
        <v>16</v>
      </c>
      <c r="C14" s="8" t="s">
        <v>16</v>
      </c>
      <c r="D14" s="8" t="n">
        <v>320</v>
      </c>
      <c r="E14" s="8" t="s">
        <v>17</v>
      </c>
      <c r="G14" s="8" t="n">
        <v>11</v>
      </c>
      <c r="H14" s="8" t="s">
        <v>41</v>
      </c>
      <c r="I14" s="8" t="s">
        <v>41</v>
      </c>
      <c r="J14" s="8" t="n">
        <v>319</v>
      </c>
      <c r="K14" s="8" t="s">
        <v>17</v>
      </c>
      <c r="M14" s="8" t="n">
        <v>11</v>
      </c>
      <c r="N14" s="8" t="s">
        <v>42</v>
      </c>
      <c r="O14" s="8" t="s">
        <v>42</v>
      </c>
      <c r="P14" s="8" t="n">
        <v>313</v>
      </c>
      <c r="Q14" s="8" t="s">
        <v>17</v>
      </c>
    </row>
    <row r="15" customFormat="false" ht="15" hidden="false" customHeight="true" outlineLevel="0" collapsed="false">
      <c r="A15" s="10" t="n">
        <v>12</v>
      </c>
      <c r="B15" s="10" t="s">
        <v>16</v>
      </c>
      <c r="C15" s="10" t="s">
        <v>18</v>
      </c>
      <c r="D15" s="10" t="n">
        <v>314</v>
      </c>
      <c r="E15" s="10" t="s">
        <v>17</v>
      </c>
      <c r="G15" s="10" t="n">
        <v>12</v>
      </c>
      <c r="H15" s="10" t="s">
        <v>41</v>
      </c>
      <c r="I15" s="10" t="s">
        <v>14</v>
      </c>
      <c r="J15" s="10" t="n">
        <v>314</v>
      </c>
      <c r="K15" s="10" t="s">
        <v>17</v>
      </c>
      <c r="M15" s="10" t="n">
        <v>12</v>
      </c>
      <c r="N15" s="10" t="s">
        <v>15</v>
      </c>
      <c r="O15" s="10" t="s">
        <v>42</v>
      </c>
      <c r="P15" s="10" t="n">
        <v>320</v>
      </c>
      <c r="Q15" s="10" t="s">
        <v>17</v>
      </c>
    </row>
    <row r="16" customFormat="false" ht="15" hidden="false" customHeight="true" outlineLevel="0" collapsed="false">
      <c r="A16" s="8" t="n">
        <v>13</v>
      </c>
      <c r="B16" s="8" t="s">
        <v>18</v>
      </c>
      <c r="C16" s="8" t="s">
        <v>9</v>
      </c>
      <c r="D16" s="8" t="n">
        <v>319</v>
      </c>
      <c r="E16" s="8" t="s">
        <v>17</v>
      </c>
      <c r="G16" s="8" t="n">
        <v>13</v>
      </c>
      <c r="H16" s="8" t="s">
        <v>11</v>
      </c>
      <c r="I16" s="8" t="s">
        <v>41</v>
      </c>
      <c r="J16" s="8" t="n">
        <v>313</v>
      </c>
      <c r="K16" s="8" t="s">
        <v>17</v>
      </c>
      <c r="M16" s="8" t="n">
        <v>13</v>
      </c>
      <c r="N16" s="8" t="s">
        <v>12</v>
      </c>
      <c r="O16" s="8" t="s">
        <v>42</v>
      </c>
      <c r="P16" s="8" t="n">
        <v>313</v>
      </c>
      <c r="Q16" s="8" t="s">
        <v>17</v>
      </c>
    </row>
    <row r="17" customFormat="false" ht="15" hidden="false" customHeight="true" outlineLevel="0" collapsed="false">
      <c r="A17" s="10" t="n">
        <v>14</v>
      </c>
      <c r="B17" s="10" t="s">
        <v>18</v>
      </c>
      <c r="C17" s="10" t="s">
        <v>13</v>
      </c>
      <c r="D17" s="10" t="n">
        <v>313</v>
      </c>
      <c r="E17" s="10" t="s">
        <v>17</v>
      </c>
      <c r="G17" s="10" t="n">
        <v>14</v>
      </c>
      <c r="H17" s="10" t="s">
        <v>11</v>
      </c>
      <c r="I17" s="10" t="s">
        <v>33</v>
      </c>
      <c r="J17" s="10" t="n">
        <v>313</v>
      </c>
      <c r="K17" s="10" t="s">
        <v>17</v>
      </c>
      <c r="M17" s="10" t="n">
        <v>14</v>
      </c>
      <c r="N17" s="10" t="s">
        <v>12</v>
      </c>
      <c r="O17" s="10" t="s">
        <v>43</v>
      </c>
      <c r="P17" s="10" t="n">
        <v>320</v>
      </c>
      <c r="Q17" s="10" t="s">
        <v>17</v>
      </c>
    </row>
    <row r="18" customFormat="false" ht="15" hidden="false" customHeight="true" outlineLevel="0" collapsed="false">
      <c r="A18" s="8" t="n">
        <v>15</v>
      </c>
      <c r="B18" s="8" t="s">
        <v>18</v>
      </c>
      <c r="C18" s="8" t="s">
        <v>16</v>
      </c>
      <c r="D18" s="8" t="n">
        <v>313</v>
      </c>
      <c r="E18" s="8" t="s">
        <v>17</v>
      </c>
      <c r="G18" s="8" t="n">
        <v>15</v>
      </c>
      <c r="H18" s="8" t="s">
        <v>14</v>
      </c>
      <c r="I18" s="8" t="s">
        <v>33</v>
      </c>
      <c r="J18" s="8" t="n">
        <v>314</v>
      </c>
      <c r="K18" s="8" t="s">
        <v>17</v>
      </c>
      <c r="M18" s="8" t="n">
        <v>15</v>
      </c>
      <c r="N18" s="8" t="s">
        <v>15</v>
      </c>
      <c r="O18" s="8" t="s">
        <v>43</v>
      </c>
      <c r="P18" s="8" t="n">
        <v>313</v>
      </c>
      <c r="Q18" s="8" t="s">
        <v>17</v>
      </c>
    </row>
    <row r="19" customFormat="false" ht="15" hidden="false" customHeight="true" outlineLevel="0" collapsed="false">
      <c r="A19" s="10" t="n">
        <v>16</v>
      </c>
      <c r="B19" s="10" t="s">
        <v>18</v>
      </c>
      <c r="C19" s="10" t="s">
        <v>18</v>
      </c>
      <c r="D19" s="10" t="n">
        <v>319</v>
      </c>
      <c r="E19" s="10" t="s">
        <v>17</v>
      </c>
      <c r="G19" s="10" t="n">
        <v>16</v>
      </c>
      <c r="H19" s="10" t="s">
        <v>14</v>
      </c>
      <c r="I19" s="10" t="s">
        <v>44</v>
      </c>
      <c r="J19" s="10" t="n">
        <v>313</v>
      </c>
      <c r="K19" s="10" t="s">
        <v>17</v>
      </c>
      <c r="M19" s="10" t="n">
        <v>16</v>
      </c>
      <c r="N19" s="10" t="s">
        <v>15</v>
      </c>
      <c r="O19" s="10" t="s">
        <v>40</v>
      </c>
      <c r="P19" s="10" t="n">
        <v>319</v>
      </c>
      <c r="Q19" s="10" t="s">
        <v>17</v>
      </c>
    </row>
    <row r="20" customFormat="false" ht="15" hidden="false" customHeight="true" outlineLevel="0" collapsed="false">
      <c r="A20" s="8" t="n">
        <v>17</v>
      </c>
      <c r="B20" s="8" t="s">
        <v>9</v>
      </c>
      <c r="C20" s="8" t="s">
        <v>18</v>
      </c>
      <c r="D20" s="8" t="n">
        <v>313</v>
      </c>
      <c r="E20" s="9" t="s">
        <v>10</v>
      </c>
      <c r="G20" s="8" t="n">
        <v>17</v>
      </c>
      <c r="H20" s="8" t="s">
        <v>44</v>
      </c>
      <c r="I20" s="8" t="s">
        <v>44</v>
      </c>
      <c r="J20" s="8" t="n">
        <v>313</v>
      </c>
      <c r="K20" s="8" t="s">
        <v>17</v>
      </c>
      <c r="M20" s="8" t="n">
        <v>17</v>
      </c>
      <c r="N20" s="8" t="s">
        <v>45</v>
      </c>
      <c r="O20" s="8" t="s">
        <v>46</v>
      </c>
      <c r="P20" s="8" t="n">
        <v>313</v>
      </c>
      <c r="Q20" s="8" t="s">
        <v>17</v>
      </c>
    </row>
    <row r="21" customFormat="false" ht="15" hidden="false" customHeight="true" outlineLevel="0" collapsed="false">
      <c r="A21" s="10" t="n">
        <v>18</v>
      </c>
      <c r="B21" s="10" t="s">
        <v>9</v>
      </c>
      <c r="C21" s="10" t="s">
        <v>18</v>
      </c>
      <c r="D21" s="10" t="n">
        <v>320</v>
      </c>
      <c r="E21" s="10" t="s">
        <v>17</v>
      </c>
      <c r="G21" s="10" t="n">
        <v>18</v>
      </c>
      <c r="H21" s="10" t="s">
        <v>30</v>
      </c>
      <c r="I21" s="10" t="s">
        <v>30</v>
      </c>
      <c r="J21" s="10" t="n">
        <v>320</v>
      </c>
      <c r="K21" s="11" t="s">
        <v>10</v>
      </c>
      <c r="M21" s="10" t="n">
        <v>18</v>
      </c>
      <c r="N21" s="10" t="s">
        <v>47</v>
      </c>
      <c r="O21" s="10" t="s">
        <v>47</v>
      </c>
      <c r="P21" s="10" t="n">
        <v>320</v>
      </c>
      <c r="Q21" s="11" t="s">
        <v>10</v>
      </c>
    </row>
    <row r="22" customFormat="false" ht="15" hidden="false" customHeight="true" outlineLevel="0" collapsed="false">
      <c r="A22" s="8" t="n">
        <v>19</v>
      </c>
      <c r="B22" s="8" t="s">
        <v>18</v>
      </c>
      <c r="C22" s="8" t="s">
        <v>18</v>
      </c>
      <c r="D22" s="8" t="n">
        <v>314</v>
      </c>
      <c r="E22" s="8" t="s">
        <v>17</v>
      </c>
      <c r="G22" s="8" t="n">
        <v>19</v>
      </c>
      <c r="H22" s="8" t="s">
        <v>23</v>
      </c>
      <c r="I22" s="8" t="s">
        <v>23</v>
      </c>
      <c r="J22" s="8" t="n">
        <v>313</v>
      </c>
      <c r="K22" s="9" t="s">
        <v>10</v>
      </c>
      <c r="M22" s="8" t="n">
        <v>19</v>
      </c>
      <c r="N22" s="8" t="s">
        <v>38</v>
      </c>
      <c r="O22" s="8" t="s">
        <v>48</v>
      </c>
      <c r="P22" s="8" t="n">
        <v>313</v>
      </c>
      <c r="Q22" s="8" t="s">
        <v>17</v>
      </c>
    </row>
    <row r="23" customFormat="false" ht="15" hidden="false" customHeight="true" outlineLevel="0" collapsed="false">
      <c r="A23" s="10" t="n">
        <v>20</v>
      </c>
      <c r="B23" s="10" t="s">
        <v>13</v>
      </c>
      <c r="C23" s="10" t="s">
        <v>13</v>
      </c>
      <c r="D23" s="10" t="n">
        <v>320</v>
      </c>
      <c r="E23" s="10" t="s">
        <v>17</v>
      </c>
      <c r="G23" s="10" t="n">
        <v>20</v>
      </c>
      <c r="H23" s="10" t="s">
        <v>36</v>
      </c>
      <c r="I23" s="10" t="s">
        <v>36</v>
      </c>
      <c r="J23" s="10" t="n">
        <v>319</v>
      </c>
      <c r="K23" s="10" t="s">
        <v>17</v>
      </c>
      <c r="M23" s="10" t="n">
        <v>20</v>
      </c>
      <c r="N23" s="10" t="s">
        <v>49</v>
      </c>
      <c r="O23" s="10" t="s">
        <v>50</v>
      </c>
      <c r="P23" s="10" t="n">
        <v>320</v>
      </c>
      <c r="Q23" s="10" t="s">
        <v>17</v>
      </c>
    </row>
    <row r="24" customFormat="false" ht="15" hidden="false" customHeight="true" outlineLevel="0" collapsed="false">
      <c r="A24" s="8" t="n">
        <v>21</v>
      </c>
      <c r="B24" s="8" t="s">
        <v>9</v>
      </c>
      <c r="C24" s="8" t="s">
        <v>16</v>
      </c>
      <c r="D24" s="8" t="n">
        <v>313</v>
      </c>
      <c r="E24" s="8" t="s">
        <v>17</v>
      </c>
      <c r="G24" s="8" t="n">
        <v>21</v>
      </c>
      <c r="H24" s="8" t="s">
        <v>11</v>
      </c>
      <c r="I24" s="8" t="s">
        <v>44</v>
      </c>
      <c r="J24" s="8" t="n">
        <v>313</v>
      </c>
      <c r="K24" s="9" t="s">
        <v>10</v>
      </c>
      <c r="M24" s="8" t="n">
        <v>21</v>
      </c>
      <c r="N24" s="8" t="s">
        <v>51</v>
      </c>
      <c r="O24" s="8" t="s">
        <v>51</v>
      </c>
      <c r="P24" s="8" t="n">
        <v>313</v>
      </c>
      <c r="Q24" s="9" t="s">
        <v>10</v>
      </c>
    </row>
    <row r="25" customFormat="false" ht="15" hidden="false" customHeight="true" outlineLevel="0" collapsed="false">
      <c r="A25" s="10" t="n">
        <v>22</v>
      </c>
      <c r="B25" s="10" t="s">
        <v>16</v>
      </c>
      <c r="C25" s="10" t="s">
        <v>18</v>
      </c>
      <c r="D25" s="10" t="n">
        <v>313</v>
      </c>
      <c r="E25" s="10" t="s">
        <v>17</v>
      </c>
      <c r="G25" s="10" t="n">
        <v>22</v>
      </c>
      <c r="H25" s="10" t="s">
        <v>52</v>
      </c>
      <c r="I25" s="10" t="s">
        <v>29</v>
      </c>
      <c r="J25" s="10" t="n">
        <v>313</v>
      </c>
      <c r="K25" s="11" t="s">
        <v>10</v>
      </c>
      <c r="M25" s="10" t="n">
        <v>22</v>
      </c>
      <c r="N25" s="10" t="s">
        <v>53</v>
      </c>
      <c r="O25" s="10" t="s">
        <v>54</v>
      </c>
      <c r="P25" s="10" t="n">
        <v>319</v>
      </c>
      <c r="Q25" s="10" t="s">
        <v>17</v>
      </c>
    </row>
    <row r="26" customFormat="false" ht="15" hidden="false" customHeight="true" outlineLevel="0" collapsed="false">
      <c r="A26" s="8" t="n">
        <v>23</v>
      </c>
      <c r="B26" s="8" t="s">
        <v>18</v>
      </c>
      <c r="C26" s="8" t="s">
        <v>9</v>
      </c>
      <c r="D26" s="8" t="n">
        <v>320</v>
      </c>
      <c r="E26" s="8" t="s">
        <v>17</v>
      </c>
      <c r="G26" s="8" t="n">
        <v>23</v>
      </c>
      <c r="H26" s="8" t="s">
        <v>26</v>
      </c>
      <c r="I26" s="8" t="s">
        <v>25</v>
      </c>
      <c r="J26" s="8" t="n">
        <v>313</v>
      </c>
      <c r="K26" s="9" t="s">
        <v>10</v>
      </c>
      <c r="M26" s="8" t="n">
        <v>23</v>
      </c>
      <c r="N26" s="8" t="s">
        <v>21</v>
      </c>
      <c r="O26" s="8" t="s">
        <v>48</v>
      </c>
      <c r="P26" s="8" t="n">
        <v>313</v>
      </c>
      <c r="Q26" s="9" t="s">
        <v>10</v>
      </c>
    </row>
    <row r="27" customFormat="false" ht="15" hidden="false" customHeight="true" outlineLevel="0" collapsed="false">
      <c r="A27" s="10" t="n">
        <v>24</v>
      </c>
      <c r="B27" s="10" t="s">
        <v>13</v>
      </c>
      <c r="C27" s="10" t="s">
        <v>18</v>
      </c>
      <c r="D27" s="10" t="n">
        <v>313</v>
      </c>
      <c r="E27" s="10" t="s">
        <v>17</v>
      </c>
      <c r="G27" s="10" t="n">
        <v>24</v>
      </c>
      <c r="H27" s="10" t="s">
        <v>30</v>
      </c>
      <c r="I27" s="10" t="s">
        <v>39</v>
      </c>
      <c r="J27" s="10" t="n">
        <v>313</v>
      </c>
      <c r="K27" s="11" t="s">
        <v>10</v>
      </c>
      <c r="M27" s="10" t="n">
        <v>24</v>
      </c>
      <c r="N27" s="10" t="s">
        <v>12</v>
      </c>
      <c r="O27" s="10" t="s">
        <v>40</v>
      </c>
      <c r="P27" s="10" t="n">
        <v>314</v>
      </c>
      <c r="Q27" s="11" t="s">
        <v>10</v>
      </c>
    </row>
    <row r="28" customFormat="false" ht="15" hidden="false" customHeight="true" outlineLevel="0" collapsed="false">
      <c r="A28" s="8" t="n">
        <v>25</v>
      </c>
      <c r="B28" s="8" t="s">
        <v>9</v>
      </c>
      <c r="C28" s="8" t="s">
        <v>13</v>
      </c>
      <c r="D28" s="8" t="n">
        <v>319</v>
      </c>
      <c r="E28" s="9" t="s">
        <v>10</v>
      </c>
      <c r="G28" s="8" t="n">
        <v>25</v>
      </c>
      <c r="H28" s="8" t="s">
        <v>39</v>
      </c>
      <c r="I28" s="8" t="s">
        <v>19</v>
      </c>
      <c r="J28" s="8" t="n">
        <v>319</v>
      </c>
      <c r="K28" s="9" t="s">
        <v>10</v>
      </c>
      <c r="M28" s="8" t="n">
        <v>25</v>
      </c>
      <c r="N28" s="8" t="s">
        <v>46</v>
      </c>
      <c r="O28" s="8" t="s">
        <v>24</v>
      </c>
      <c r="P28" s="8" t="n">
        <v>313</v>
      </c>
      <c r="Q28" s="9" t="s">
        <v>10</v>
      </c>
    </row>
    <row r="29" customFormat="false" ht="15" hidden="false" customHeight="true" outlineLevel="0" collapsed="false">
      <c r="A29" s="10" t="n">
        <v>26</v>
      </c>
      <c r="B29" s="10" t="s">
        <v>18</v>
      </c>
      <c r="C29" s="10" t="s">
        <v>16</v>
      </c>
      <c r="D29" s="10" t="n">
        <v>313</v>
      </c>
      <c r="E29" s="10" t="s">
        <v>17</v>
      </c>
      <c r="G29" s="10" t="n">
        <v>26</v>
      </c>
      <c r="H29" s="10" t="s">
        <v>36</v>
      </c>
      <c r="I29" s="10" t="s">
        <v>14</v>
      </c>
      <c r="J29" s="10" t="n">
        <v>314</v>
      </c>
      <c r="K29" s="11" t="s">
        <v>10</v>
      </c>
      <c r="M29" s="10" t="n">
        <v>26</v>
      </c>
      <c r="N29" s="10" t="s">
        <v>55</v>
      </c>
      <c r="O29" s="10" t="s">
        <v>38</v>
      </c>
      <c r="P29" s="10" t="n">
        <v>313</v>
      </c>
      <c r="Q29" s="11" t="s">
        <v>10</v>
      </c>
    </row>
    <row r="30" customFormat="false" ht="15" hidden="false" customHeight="true" outlineLevel="0" collapsed="false">
      <c r="A30" s="8" t="n">
        <v>27</v>
      </c>
      <c r="B30" s="8" t="s">
        <v>16</v>
      </c>
      <c r="C30" s="8" t="s">
        <v>16</v>
      </c>
      <c r="D30" s="8" t="n">
        <v>313</v>
      </c>
      <c r="E30" s="8" t="s">
        <v>17</v>
      </c>
      <c r="G30" s="8" t="n">
        <v>27</v>
      </c>
      <c r="H30" s="8" t="s">
        <v>23</v>
      </c>
      <c r="I30" s="8" t="s">
        <v>11</v>
      </c>
      <c r="J30" s="8" t="n">
        <v>319</v>
      </c>
      <c r="K30" s="9" t="s">
        <v>10</v>
      </c>
      <c r="M30" s="8" t="n">
        <v>27</v>
      </c>
      <c r="N30" s="8" t="s">
        <v>48</v>
      </c>
      <c r="O30" s="8" t="s">
        <v>56</v>
      </c>
      <c r="P30" s="8" t="n">
        <v>313</v>
      </c>
      <c r="Q30" s="9" t="s">
        <v>10</v>
      </c>
    </row>
    <row r="31" customFormat="false" ht="15" hidden="false" customHeight="true" outlineLevel="0" collapsed="false">
      <c r="A31" s="10" t="n">
        <v>28</v>
      </c>
      <c r="B31" s="10" t="s">
        <v>9</v>
      </c>
      <c r="C31" s="10" t="s">
        <v>18</v>
      </c>
      <c r="D31" s="10" t="n">
        <v>314</v>
      </c>
      <c r="E31" s="10" t="s">
        <v>17</v>
      </c>
      <c r="G31" s="10" t="n">
        <v>28</v>
      </c>
      <c r="H31" s="10" t="s">
        <v>22</v>
      </c>
      <c r="I31" s="10" t="s">
        <v>22</v>
      </c>
      <c r="J31" s="10" t="n">
        <v>313</v>
      </c>
      <c r="K31" s="11" t="s">
        <v>10</v>
      </c>
      <c r="M31" s="10" t="n">
        <v>28</v>
      </c>
      <c r="N31" s="10" t="s">
        <v>57</v>
      </c>
      <c r="O31" s="10" t="s">
        <v>58</v>
      </c>
      <c r="P31" s="10" t="n">
        <v>313</v>
      </c>
      <c r="Q31" s="11" t="s">
        <v>10</v>
      </c>
    </row>
    <row r="32" customFormat="false" ht="15" hidden="false" customHeight="true" outlineLevel="0" collapsed="false">
      <c r="A32" s="8" t="n">
        <v>29</v>
      </c>
      <c r="B32" s="8" t="s">
        <v>13</v>
      </c>
      <c r="C32" s="8" t="s">
        <v>9</v>
      </c>
      <c r="D32" s="8" t="n">
        <v>313</v>
      </c>
      <c r="E32" s="9" t="s">
        <v>10</v>
      </c>
      <c r="G32" s="8" t="n">
        <v>29</v>
      </c>
      <c r="H32" s="8" t="s">
        <v>52</v>
      </c>
      <c r="I32" s="8" t="s">
        <v>36</v>
      </c>
      <c r="J32" s="8" t="n">
        <v>320</v>
      </c>
      <c r="K32" s="9" t="s">
        <v>10</v>
      </c>
      <c r="M32" s="8" t="n">
        <v>29</v>
      </c>
      <c r="N32" s="8" t="s">
        <v>51</v>
      </c>
      <c r="O32" s="8" t="s">
        <v>51</v>
      </c>
      <c r="P32" s="8" t="n">
        <v>320</v>
      </c>
      <c r="Q32" s="9" t="s">
        <v>10</v>
      </c>
    </row>
    <row r="33" customFormat="false" ht="15" hidden="false" customHeight="true" outlineLevel="0" collapsed="false">
      <c r="A33" s="10" t="n">
        <v>30</v>
      </c>
      <c r="B33" s="10" t="s">
        <v>18</v>
      </c>
      <c r="C33" s="10" t="s">
        <v>18</v>
      </c>
      <c r="D33" s="10" t="n">
        <v>319</v>
      </c>
      <c r="E33" s="10" t="s">
        <v>17</v>
      </c>
      <c r="G33" s="10" t="n">
        <v>30</v>
      </c>
      <c r="H33" s="10" t="s">
        <v>29</v>
      </c>
      <c r="I33" s="10" t="s">
        <v>23</v>
      </c>
      <c r="J33" s="10" t="n">
        <v>313</v>
      </c>
      <c r="K33" s="10" t="s">
        <v>17</v>
      </c>
      <c r="M33" s="10" t="n">
        <v>30</v>
      </c>
      <c r="N33" s="10" t="s">
        <v>59</v>
      </c>
      <c r="O33" s="10" t="s">
        <v>59</v>
      </c>
      <c r="P33" s="10" t="n">
        <v>313</v>
      </c>
      <c r="Q33" s="10" t="s">
        <v>17</v>
      </c>
    </row>
    <row r="35" customFormat="false" ht="15" hidden="false" customHeight="true" outlineLevel="0" collapsed="false">
      <c r="A35" s="12" t="s">
        <v>60</v>
      </c>
      <c r="B35" s="12"/>
      <c r="C35" s="5" t="s">
        <v>61</v>
      </c>
      <c r="G35" s="13" t="s">
        <v>60</v>
      </c>
      <c r="H35" s="13"/>
      <c r="I35" s="6" t="s">
        <v>61</v>
      </c>
      <c r="M35" s="14" t="s">
        <v>60</v>
      </c>
      <c r="N35" s="14"/>
      <c r="O35" s="7" t="s">
        <v>61</v>
      </c>
    </row>
    <row r="36" customFormat="false" ht="15" hidden="false" customHeight="true" outlineLevel="0" collapsed="false">
      <c r="A36" s="15" t="s">
        <v>62</v>
      </c>
      <c r="B36" s="15"/>
      <c r="C36" s="16" t="n">
        <f aca="false">AVERAGE(D4:D33)</f>
        <v>315.266666666667</v>
      </c>
      <c r="G36" s="17" t="s">
        <v>62</v>
      </c>
      <c r="H36" s="17"/>
      <c r="I36" s="16" t="n">
        <f aca="false">AVERAGE(J4:J33)</f>
        <v>315.066666666667</v>
      </c>
      <c r="M36" s="18" t="s">
        <v>62</v>
      </c>
      <c r="N36" s="18"/>
      <c r="O36" s="16" t="n">
        <f aca="false">AVERAGE(P4:P33)</f>
        <v>315.1</v>
      </c>
    </row>
    <row r="37" customFormat="false" ht="15" hidden="false" customHeight="true" outlineLevel="0" collapsed="false">
      <c r="A37" s="15" t="s">
        <v>63</v>
      </c>
      <c r="B37" s="15"/>
      <c r="C37" s="16" t="n">
        <f aca="false">MIN(D4:D33)</f>
        <v>313</v>
      </c>
      <c r="G37" s="17" t="s">
        <v>63</v>
      </c>
      <c r="H37" s="17"/>
      <c r="I37" s="16" t="n">
        <f aca="false">MIN(J4:J33)</f>
        <v>313</v>
      </c>
      <c r="M37" s="18" t="s">
        <v>63</v>
      </c>
      <c r="N37" s="18"/>
      <c r="O37" s="16" t="n">
        <f aca="false">MIN(P4:P33)</f>
        <v>313</v>
      </c>
    </row>
    <row r="38" customFormat="false" ht="15" hidden="false" customHeight="true" outlineLevel="0" collapsed="false">
      <c r="A38" s="15" t="s">
        <v>64</v>
      </c>
      <c r="B38" s="15"/>
      <c r="C38" s="16" t="n">
        <f aca="false">MAX(D4:D33)</f>
        <v>320</v>
      </c>
      <c r="G38" s="17" t="s">
        <v>64</v>
      </c>
      <c r="H38" s="17"/>
      <c r="I38" s="16" t="n">
        <f aca="false">MAX(J4:J33)</f>
        <v>320</v>
      </c>
      <c r="M38" s="18" t="s">
        <v>64</v>
      </c>
      <c r="N38" s="18"/>
      <c r="O38" s="16" t="n">
        <f aca="false">MAX(P4:P33)</f>
        <v>320</v>
      </c>
    </row>
    <row r="39" customFormat="false" ht="15" hidden="false" customHeight="true" outlineLevel="0" collapsed="false">
      <c r="A39" s="15" t="s">
        <v>65</v>
      </c>
      <c r="B39" s="15"/>
      <c r="C39" s="16" t="n">
        <f aca="false">STDEV(D4:D33)</f>
        <v>3.00497671496324</v>
      </c>
      <c r="G39" s="17" t="s">
        <v>65</v>
      </c>
      <c r="H39" s="17"/>
      <c r="I39" s="16" t="n">
        <f aca="false">STDEV(J4:J33)</f>
        <v>2.94704215634327</v>
      </c>
      <c r="M39" s="18" t="s">
        <v>65</v>
      </c>
      <c r="N39" s="18"/>
      <c r="O39" s="16" t="n">
        <f aca="false">STDEV(P4:P33)</f>
        <v>2.99827536634209</v>
      </c>
    </row>
    <row r="40" customFormat="false" ht="15" hidden="false" customHeight="true" outlineLevel="0" collapsed="false">
      <c r="A40" s="15" t="s">
        <v>8</v>
      </c>
      <c r="B40" s="15"/>
      <c r="C40" s="16" t="str">
        <f aca="false">COUNTIF(E4:E33,"SIM")&amp;"/30"</f>
        <v>6/30</v>
      </c>
      <c r="G40" s="17" t="s">
        <v>8</v>
      </c>
      <c r="H40" s="17"/>
      <c r="I40" s="16" t="str">
        <f aca="false">COUNTIF(K4:K33,"SIM")&amp;"/30"</f>
        <v>20/30</v>
      </c>
      <c r="M40" s="18" t="s">
        <v>8</v>
      </c>
      <c r="N40" s="18"/>
      <c r="O40" s="16" t="str">
        <f aca="false">COUNTIF(Q4:Q33,"SIM")&amp;"/30"</f>
        <v>18/30</v>
      </c>
    </row>
  </sheetData>
  <mergeCells count="22">
    <mergeCell ref="A1:K1"/>
    <mergeCell ref="A2:D2"/>
    <mergeCell ref="G2:J2"/>
    <mergeCell ref="M2:P2"/>
    <mergeCell ref="A35:B35"/>
    <mergeCell ref="G35:H35"/>
    <mergeCell ref="M35:N35"/>
    <mergeCell ref="A36:B36"/>
    <mergeCell ref="G36:H36"/>
    <mergeCell ref="M36:N36"/>
    <mergeCell ref="A37:B37"/>
    <mergeCell ref="G37:H37"/>
    <mergeCell ref="M37:N37"/>
    <mergeCell ref="A38:B38"/>
    <mergeCell ref="G38:H38"/>
    <mergeCell ref="M38:N38"/>
    <mergeCell ref="A39:B39"/>
    <mergeCell ref="G39:H39"/>
    <mergeCell ref="M39:N39"/>
    <mergeCell ref="A40:B40"/>
    <mergeCell ref="G40:H40"/>
    <mergeCell ref="M40: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27.75" hidden="false" customHeight="true" outlineLevel="0" collapsed="false">
      <c r="A1" s="1" t="s">
        <v>66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19" t="s">
        <v>67</v>
      </c>
      <c r="B2" s="19"/>
      <c r="C2" s="19"/>
      <c r="F2" s="2" t="s">
        <v>68</v>
      </c>
      <c r="G2" s="2"/>
      <c r="H2" s="2"/>
      <c r="K2" s="4" t="s">
        <v>69</v>
      </c>
      <c r="L2" s="4"/>
      <c r="M2" s="4"/>
    </row>
    <row r="3" customFormat="false" ht="18" hidden="false" customHeight="true" outlineLevel="0" collapsed="false">
      <c r="A3" s="20" t="s">
        <v>70</v>
      </c>
      <c r="B3" s="20" t="s">
        <v>71</v>
      </c>
      <c r="C3" s="20" t="s">
        <v>7</v>
      </c>
      <c r="F3" s="5" t="s">
        <v>70</v>
      </c>
      <c r="G3" s="5" t="s">
        <v>71</v>
      </c>
      <c r="H3" s="5" t="s">
        <v>7</v>
      </c>
      <c r="K3" s="7" t="s">
        <v>70</v>
      </c>
      <c r="L3" s="7" t="s">
        <v>71</v>
      </c>
      <c r="M3" s="7" t="s">
        <v>7</v>
      </c>
    </row>
    <row r="4" customFormat="false" ht="15" hidden="false" customHeight="true" outlineLevel="0" collapsed="false">
      <c r="A4" s="8" t="n">
        <v>1</v>
      </c>
      <c r="B4" s="8" t="n">
        <v>6</v>
      </c>
      <c r="C4" s="8" t="n">
        <v>314</v>
      </c>
      <c r="F4" s="8" t="n">
        <v>1</v>
      </c>
      <c r="G4" s="8" t="n">
        <v>120</v>
      </c>
      <c r="H4" s="8" t="n">
        <v>313</v>
      </c>
      <c r="K4" s="8" t="n">
        <v>1</v>
      </c>
      <c r="L4" s="8" t="n">
        <v>40320</v>
      </c>
      <c r="M4" s="8" t="n">
        <v>320</v>
      </c>
    </row>
    <row r="5" customFormat="false" ht="15" hidden="false" customHeight="true" outlineLevel="0" collapsed="false">
      <c r="A5" s="10" t="n">
        <v>2</v>
      </c>
      <c r="B5" s="10" t="n">
        <v>6</v>
      </c>
      <c r="C5" s="10" t="n">
        <v>320</v>
      </c>
      <c r="F5" s="10" t="n">
        <v>2</v>
      </c>
      <c r="G5" s="10" t="n">
        <v>120</v>
      </c>
      <c r="H5" s="10" t="n">
        <v>313</v>
      </c>
      <c r="K5" s="10" t="n">
        <v>2</v>
      </c>
      <c r="L5" s="10" t="n">
        <v>40320</v>
      </c>
      <c r="M5" s="10" t="n">
        <v>314</v>
      </c>
    </row>
    <row r="6" customFormat="false" ht="15" hidden="false" customHeight="true" outlineLevel="0" collapsed="false">
      <c r="A6" s="8" t="n">
        <v>3</v>
      </c>
      <c r="B6" s="8" t="n">
        <v>6</v>
      </c>
      <c r="C6" s="8" t="n">
        <v>313</v>
      </c>
      <c r="F6" s="8" t="n">
        <v>3</v>
      </c>
      <c r="G6" s="8" t="n">
        <v>120</v>
      </c>
      <c r="H6" s="8" t="n">
        <v>320</v>
      </c>
      <c r="K6" s="8" t="n">
        <v>3</v>
      </c>
      <c r="L6" s="8" t="n">
        <v>40320</v>
      </c>
      <c r="M6" s="8" t="n">
        <v>313</v>
      </c>
    </row>
    <row r="7" customFormat="false" ht="15" hidden="false" customHeight="true" outlineLevel="0" collapsed="false">
      <c r="A7" s="10" t="n">
        <v>4</v>
      </c>
      <c r="B7" s="10" t="n">
        <v>6</v>
      </c>
      <c r="C7" s="10" t="n">
        <v>313</v>
      </c>
      <c r="F7" s="10" t="n">
        <v>4</v>
      </c>
      <c r="G7" s="10" t="n">
        <v>120</v>
      </c>
      <c r="H7" s="10" t="n">
        <v>314</v>
      </c>
      <c r="K7" s="10" t="n">
        <v>4</v>
      </c>
      <c r="L7" s="10" t="n">
        <v>40320</v>
      </c>
      <c r="M7" s="10" t="n">
        <v>313</v>
      </c>
    </row>
    <row r="8" customFormat="false" ht="15" hidden="false" customHeight="true" outlineLevel="0" collapsed="false">
      <c r="A8" s="8" t="n">
        <v>5</v>
      </c>
      <c r="B8" s="8" t="n">
        <v>6</v>
      </c>
      <c r="C8" s="8" t="n">
        <v>319</v>
      </c>
      <c r="F8" s="8" t="n">
        <v>5</v>
      </c>
      <c r="G8" s="8" t="n">
        <v>120</v>
      </c>
      <c r="H8" s="8" t="n">
        <v>314</v>
      </c>
      <c r="K8" s="8" t="n">
        <v>5</v>
      </c>
      <c r="L8" s="8" t="n">
        <v>40320</v>
      </c>
      <c r="M8" s="8" t="n">
        <v>314</v>
      </c>
    </row>
    <row r="9" customFormat="false" ht="15" hidden="false" customHeight="true" outlineLevel="0" collapsed="false">
      <c r="A9" s="10" t="n">
        <v>6</v>
      </c>
      <c r="B9" s="10" t="n">
        <v>6</v>
      </c>
      <c r="C9" s="10" t="n">
        <v>314</v>
      </c>
      <c r="F9" s="10" t="n">
        <v>6</v>
      </c>
      <c r="G9" s="10" t="n">
        <v>120</v>
      </c>
      <c r="H9" s="10" t="n">
        <v>320</v>
      </c>
      <c r="K9" s="10" t="n">
        <v>6</v>
      </c>
      <c r="L9" s="10" t="n">
        <v>40320</v>
      </c>
      <c r="M9" s="10" t="n">
        <v>320</v>
      </c>
    </row>
    <row r="10" customFormat="false" ht="15" hidden="false" customHeight="true" outlineLevel="0" collapsed="false">
      <c r="A10" s="8" t="n">
        <v>7</v>
      </c>
      <c r="B10" s="8" t="n">
        <v>6</v>
      </c>
      <c r="C10" s="8" t="n">
        <v>314</v>
      </c>
      <c r="F10" s="8" t="n">
        <v>7</v>
      </c>
      <c r="G10" s="8" t="n">
        <v>120</v>
      </c>
      <c r="H10" s="8" t="n">
        <v>314</v>
      </c>
      <c r="K10" s="8" t="n">
        <v>7</v>
      </c>
      <c r="L10" s="8" t="n">
        <v>40320</v>
      </c>
      <c r="M10" s="8" t="n">
        <v>314</v>
      </c>
    </row>
    <row r="11" customFormat="false" ht="15" hidden="false" customHeight="true" outlineLevel="0" collapsed="false">
      <c r="A11" s="10" t="n">
        <v>8</v>
      </c>
      <c r="B11" s="10" t="n">
        <v>6</v>
      </c>
      <c r="C11" s="10" t="n">
        <v>319</v>
      </c>
      <c r="F11" s="10" t="n">
        <v>8</v>
      </c>
      <c r="G11" s="10" t="n">
        <v>120</v>
      </c>
      <c r="H11" s="10" t="n">
        <v>319</v>
      </c>
      <c r="K11" s="10" t="n">
        <v>8</v>
      </c>
      <c r="L11" s="10" t="n">
        <v>40320</v>
      </c>
      <c r="M11" s="10" t="n">
        <v>313</v>
      </c>
    </row>
    <row r="12" customFormat="false" ht="15" hidden="false" customHeight="true" outlineLevel="0" collapsed="false">
      <c r="A12" s="8" t="n">
        <v>9</v>
      </c>
      <c r="B12" s="8" t="n">
        <v>6</v>
      </c>
      <c r="C12" s="8" t="n">
        <v>313</v>
      </c>
      <c r="F12" s="8" t="n">
        <v>9</v>
      </c>
      <c r="G12" s="8" t="n">
        <v>120</v>
      </c>
      <c r="H12" s="8" t="n">
        <v>313</v>
      </c>
      <c r="K12" s="8" t="n">
        <v>9</v>
      </c>
      <c r="L12" s="8" t="n">
        <v>40320</v>
      </c>
      <c r="M12" s="8" t="n">
        <v>320</v>
      </c>
    </row>
    <row r="13" customFormat="false" ht="15" hidden="false" customHeight="true" outlineLevel="0" collapsed="false">
      <c r="A13" s="10" t="n">
        <v>10</v>
      </c>
      <c r="B13" s="10" t="n">
        <v>6</v>
      </c>
      <c r="C13" s="10" t="n">
        <v>320</v>
      </c>
      <c r="F13" s="10" t="n">
        <v>10</v>
      </c>
      <c r="G13" s="10" t="n">
        <v>120</v>
      </c>
      <c r="H13" s="10" t="n">
        <v>313</v>
      </c>
      <c r="K13" s="10" t="n">
        <v>10</v>
      </c>
      <c r="L13" s="10" t="n">
        <v>40320</v>
      </c>
      <c r="M13" s="10" t="n">
        <v>314</v>
      </c>
    </row>
    <row r="15" customFormat="false" ht="15" hidden="false" customHeight="true" outlineLevel="0" collapsed="false">
      <c r="A15" s="21" t="s">
        <v>60</v>
      </c>
      <c r="B15" s="21"/>
      <c r="C15" s="20" t="s">
        <v>61</v>
      </c>
      <c r="F15" s="12" t="s">
        <v>60</v>
      </c>
      <c r="G15" s="12"/>
      <c r="H15" s="5" t="s">
        <v>61</v>
      </c>
      <c r="K15" s="14" t="s">
        <v>60</v>
      </c>
      <c r="L15" s="14"/>
      <c r="M15" s="7" t="s">
        <v>61</v>
      </c>
    </row>
    <row r="16" customFormat="false" ht="15" hidden="false" customHeight="true" outlineLevel="0" collapsed="false">
      <c r="A16" s="22" t="s">
        <v>62</v>
      </c>
      <c r="B16" s="22"/>
      <c r="C16" s="16" t="n">
        <f aca="false">AVERAGE(C4:C13)</f>
        <v>315.9</v>
      </c>
      <c r="F16" s="15" t="s">
        <v>62</v>
      </c>
      <c r="G16" s="15"/>
      <c r="H16" s="16" t="n">
        <f aca="false">AVERAGE(H4:H13)</f>
        <v>315.3</v>
      </c>
      <c r="K16" s="18" t="s">
        <v>62</v>
      </c>
      <c r="L16" s="18"/>
      <c r="M16" s="16" t="n">
        <f aca="false">AVERAGE(M4:M13)</f>
        <v>315.5</v>
      </c>
    </row>
    <row r="17" customFormat="false" ht="15" hidden="false" customHeight="true" outlineLevel="0" collapsed="false">
      <c r="A17" s="22" t="s">
        <v>63</v>
      </c>
      <c r="B17" s="22"/>
      <c r="C17" s="16" t="n">
        <f aca="false">MIN(C4:C13)</f>
        <v>313</v>
      </c>
      <c r="F17" s="15" t="s">
        <v>63</v>
      </c>
      <c r="G17" s="15"/>
      <c r="H17" s="16" t="n">
        <f aca="false">MIN(H4:H13)</f>
        <v>313</v>
      </c>
      <c r="K17" s="18" t="s">
        <v>63</v>
      </c>
      <c r="L17" s="18"/>
      <c r="M17" s="16" t="n">
        <f aca="false">MIN(M4:M13)</f>
        <v>313</v>
      </c>
    </row>
    <row r="18" customFormat="false" ht="15" hidden="false" customHeight="true" outlineLevel="0" collapsed="false">
      <c r="A18" s="22" t="s">
        <v>64</v>
      </c>
      <c r="B18" s="22"/>
      <c r="C18" s="16" t="n">
        <f aca="false">MAX(C4:C13)</f>
        <v>320</v>
      </c>
      <c r="F18" s="15" t="s">
        <v>64</v>
      </c>
      <c r="G18" s="15"/>
      <c r="H18" s="16" t="n">
        <f aca="false">MAX(H4:H13)</f>
        <v>320</v>
      </c>
      <c r="K18" s="18" t="s">
        <v>64</v>
      </c>
      <c r="L18" s="18"/>
      <c r="M18" s="16" t="n">
        <f aca="false">MAX(M4:M13)</f>
        <v>320</v>
      </c>
    </row>
    <row r="19" customFormat="false" ht="15" hidden="false" customHeight="true" outlineLevel="0" collapsed="false">
      <c r="A19" s="22" t="s">
        <v>65</v>
      </c>
      <c r="B19" s="22"/>
      <c r="C19" s="16" t="n">
        <f aca="false">STDEV(C4:C13)</f>
        <v>3.14289321768618</v>
      </c>
      <c r="F19" s="15" t="s">
        <v>65</v>
      </c>
      <c r="G19" s="15"/>
      <c r="H19" s="16" t="n">
        <f aca="false">STDEV(H4:H13)</f>
        <v>3.05686840482943</v>
      </c>
      <c r="K19" s="18" t="s">
        <v>65</v>
      </c>
      <c r="L19" s="18"/>
      <c r="M19" s="16" t="n">
        <f aca="false">STDEV(M4:M13)</f>
        <v>3.13581462037113</v>
      </c>
    </row>
  </sheetData>
  <mergeCells count="19">
    <mergeCell ref="A1:F1"/>
    <mergeCell ref="A2:C2"/>
    <mergeCell ref="F2:H2"/>
    <mergeCell ref="K2:M2"/>
    <mergeCell ref="A15:B15"/>
    <mergeCell ref="F15:G15"/>
    <mergeCell ref="K15:L15"/>
    <mergeCell ref="A16:B16"/>
    <mergeCell ref="F16:G16"/>
    <mergeCell ref="K16:L16"/>
    <mergeCell ref="A17:B17"/>
    <mergeCell ref="F17:G17"/>
    <mergeCell ref="K17:L17"/>
    <mergeCell ref="A18:B18"/>
    <mergeCell ref="F18:G18"/>
    <mergeCell ref="K18:L18"/>
    <mergeCell ref="A19:B19"/>
    <mergeCell ref="F19:G19"/>
    <mergeCell ref="K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20"/>
  </cols>
  <sheetData>
    <row r="1" customFormat="false" ht="30" hidden="false" customHeight="true" outlineLevel="0" collapsed="false">
      <c r="A1" s="23" t="s">
        <v>72</v>
      </c>
      <c r="B1" s="23"/>
      <c r="C1" s="23"/>
      <c r="D1" s="23"/>
      <c r="E1" s="23"/>
      <c r="F1" s="23"/>
      <c r="G1" s="23"/>
    </row>
    <row r="3" customFormat="false" ht="19.5" hidden="false" customHeight="true" outlineLevel="0" collapsed="false">
      <c r="A3" s="2" t="s">
        <v>73</v>
      </c>
      <c r="B3" s="2"/>
      <c r="C3" s="2"/>
      <c r="D3" s="2"/>
      <c r="E3" s="2"/>
      <c r="F3" s="2"/>
      <c r="G3" s="2"/>
    </row>
    <row r="4" customFormat="false" ht="18" hidden="false" customHeight="true" outlineLevel="0" collapsed="false">
      <c r="A4" s="5" t="s">
        <v>74</v>
      </c>
      <c r="B4" s="5" t="s">
        <v>75</v>
      </c>
      <c r="C4" s="5" t="s">
        <v>62</v>
      </c>
      <c r="D4" s="5" t="s">
        <v>63</v>
      </c>
      <c r="E4" s="5" t="s">
        <v>64</v>
      </c>
      <c r="F4" s="5" t="s">
        <v>76</v>
      </c>
      <c r="G4" s="5" t="s">
        <v>8</v>
      </c>
    </row>
    <row r="5" customFormat="false" ht="15.75" hidden="false" customHeight="true" outlineLevel="0" collapsed="false">
      <c r="A5" s="24" t="s">
        <v>77</v>
      </c>
      <c r="B5" s="8" t="n">
        <v>30</v>
      </c>
      <c r="C5" s="8" t="n">
        <v>315.27</v>
      </c>
      <c r="D5" s="8" t="n">
        <v>313</v>
      </c>
      <c r="E5" s="8" t="n">
        <v>320</v>
      </c>
      <c r="F5" s="8" t="n">
        <v>2.95</v>
      </c>
      <c r="G5" s="9" t="s">
        <v>78</v>
      </c>
    </row>
    <row r="6" customFormat="false" ht="15.75" hidden="false" customHeight="true" outlineLevel="0" collapsed="false">
      <c r="A6" s="25" t="s">
        <v>79</v>
      </c>
      <c r="B6" s="10" t="n">
        <v>30</v>
      </c>
      <c r="C6" s="10" t="n">
        <v>315.07</v>
      </c>
      <c r="D6" s="10" t="n">
        <v>313</v>
      </c>
      <c r="E6" s="10" t="n">
        <v>320</v>
      </c>
      <c r="F6" s="10" t="n">
        <v>2.9</v>
      </c>
      <c r="G6" s="11" t="s">
        <v>80</v>
      </c>
    </row>
    <row r="7" customFormat="false" ht="15.75" hidden="false" customHeight="true" outlineLevel="0" collapsed="false">
      <c r="A7" s="24" t="s">
        <v>81</v>
      </c>
      <c r="B7" s="8" t="n">
        <v>30</v>
      </c>
      <c r="C7" s="8" t="n">
        <v>315.1</v>
      </c>
      <c r="D7" s="8" t="n">
        <v>313</v>
      </c>
      <c r="E7" s="8" t="n">
        <v>320</v>
      </c>
      <c r="F7" s="8" t="n">
        <v>2.95</v>
      </c>
      <c r="G7" s="9" t="s">
        <v>82</v>
      </c>
    </row>
    <row r="10" customFormat="false" ht="19.5" hidden="false" customHeight="true" outlineLevel="0" collapsed="false">
      <c r="A10" s="19" t="s">
        <v>83</v>
      </c>
      <c r="B10" s="19"/>
      <c r="C10" s="19"/>
      <c r="D10" s="19"/>
      <c r="E10" s="19"/>
      <c r="F10" s="19"/>
      <c r="G10" s="19"/>
    </row>
    <row r="11" customFormat="false" ht="18" hidden="false" customHeight="true" outlineLevel="0" collapsed="false">
      <c r="A11" s="20" t="s">
        <v>84</v>
      </c>
      <c r="B11" s="20" t="s">
        <v>85</v>
      </c>
      <c r="C11" s="20" t="s">
        <v>75</v>
      </c>
      <c r="D11" s="20" t="s">
        <v>62</v>
      </c>
      <c r="E11" s="20" t="s">
        <v>63</v>
      </c>
      <c r="F11" s="20" t="s">
        <v>64</v>
      </c>
      <c r="G11" s="20" t="s">
        <v>76</v>
      </c>
    </row>
    <row r="12" customFormat="false" ht="15.75" hidden="false" customHeight="true" outlineLevel="0" collapsed="false">
      <c r="A12" s="8" t="n">
        <v>3</v>
      </c>
      <c r="B12" s="8" t="n">
        <v>6</v>
      </c>
      <c r="C12" s="8" t="n">
        <v>10</v>
      </c>
      <c r="D12" s="8" t="n">
        <v>315.9</v>
      </c>
      <c r="E12" s="8" t="n">
        <v>313</v>
      </c>
      <c r="F12" s="8" t="n">
        <v>320</v>
      </c>
      <c r="G12" s="8" t="n">
        <v>2.98</v>
      </c>
    </row>
    <row r="13" customFormat="false" ht="15.75" hidden="false" customHeight="true" outlineLevel="0" collapsed="false">
      <c r="A13" s="10" t="n">
        <v>5</v>
      </c>
      <c r="B13" s="10" t="n">
        <v>120</v>
      </c>
      <c r="C13" s="10" t="n">
        <v>10</v>
      </c>
      <c r="D13" s="10" t="n">
        <v>315.3</v>
      </c>
      <c r="E13" s="10" t="n">
        <v>313</v>
      </c>
      <c r="F13" s="10" t="n">
        <v>320</v>
      </c>
      <c r="G13" s="10" t="n">
        <v>2.9</v>
      </c>
    </row>
    <row r="14" customFormat="false" ht="15.75" hidden="false" customHeight="true" outlineLevel="0" collapsed="false">
      <c r="A14" s="8" t="n">
        <v>8</v>
      </c>
      <c r="B14" s="8" t="n">
        <v>40320</v>
      </c>
      <c r="C14" s="8" t="n">
        <v>10</v>
      </c>
      <c r="D14" s="8" t="n">
        <v>315.5</v>
      </c>
      <c r="E14" s="8" t="n">
        <v>313</v>
      </c>
      <c r="F14" s="8" t="n">
        <v>320</v>
      </c>
      <c r="G14" s="8" t="n">
        <v>2.97</v>
      </c>
    </row>
    <row r="17" customFormat="false" ht="18" hidden="false" customHeight="true" outlineLevel="0" collapsed="false">
      <c r="A17" s="26" t="s">
        <v>86</v>
      </c>
      <c r="B17" s="26"/>
      <c r="C17" s="26"/>
      <c r="D17" s="26"/>
      <c r="E17" s="26"/>
      <c r="F17" s="26"/>
      <c r="G17" s="26"/>
    </row>
  </sheetData>
  <mergeCells count="4">
    <mergeCell ref="A1:G1"/>
    <mergeCell ref="A3:G3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2026-06-03T18:31:33Z</dcterms:created>
  <dc:creator>openpyxl</dc:creator>
  <dc:description/>
  <dc:language>en-US</dc:language>
  <cp:lastModifiedBy/>
  <dcterms:modified xsi:type="dcterms:W3CDTF">2026-06-03T18:31:33Z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